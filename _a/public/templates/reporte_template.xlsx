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</sheets>
  <definedNames>
    <definedName name="_xlnm._FilterDatabase" localSheetId="1" hidden="1">Osi!$A$1:$L$1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K16" i="3"/>
  <c r="L16" i="3"/>
  <c r="M16" i="3"/>
  <c r="I16" i="3"/>
  <c r="C16" i="3"/>
  <c r="D16" i="3"/>
  <c r="E16" i="3"/>
  <c r="F16" i="3"/>
  <c r="B16" i="3"/>
</calcChain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<sst xmlns="http://schemas.openxmlformats.org/spreadsheetml/2006/main" count="36003" uniqueCount="5763">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</sst>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M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M16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7" width="11.625" bestFit="1" customWidth="1"/>
    <col min="8" max="8" width="19.375" bestFit="1" customWidth="1"/>
    <col min="9" max="9" width="20.5" bestFit="1" customWidth="1"/>
    <col min="10" max="10" width="7.75" bestFit="1" customWidth="1"/>
    <col min="11" max="11" width="14.25" bestFit="1" customWidth="1"/>
    <col min="12" max="12" width="15.625" bestFit="1" customWidth="1"/>
    <col min="13" max="13" width="11.625" bestFit="1" customWidth="1"/>
  </cols>
  <sheetData>
    <row r="1" spans="1:13" x14ac:dyDescent="0.25">
      <c r="A1" s="2" t="s">
        <v>0</v>
      </c>
      <c r="B1" t="s">
        <v>12</v>
      </c>
      <c r="H1" s="2" t="s">
        <v>0</v>
      </c>
      <c r="I1" t="s">
        <v>12</v>
      </c>
    </row>
    <row r="2" spans="1:13" x14ac:dyDescent="0.25">
      <c r="A2" s="2" t="s">
        <v>6</v>
      </c>
      <c r="B2" t="s">
        <v>18</v>
      </c>
      <c r="H2" s="2" t="s">
        <v>6</v>
      </c>
      <c r="I2" t="s">
        <v>18</v>
      </c>
    </row>
    <row r="4" spans="1:13" x14ac:dyDescent="0.25">
      <c r="A4" s="2" t="s">
        <v>5760</v>
      </c>
      <c r="B4" s="2" t="s">
        <v>5759</v>
      </c>
      <c r="H4" s="2" t="s">
        <v>5761</v>
      </c>
      <c r="I4" s="2" t="s">
        <v>5759</v>
      </c>
    </row>
    <row r="5" spans="1:13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H5" s="2" t="s">
        <v>5757</v>
      </c>
      <c r="I5" t="s">
        <v>20</v>
      </c>
      <c r="J5" t="s">
        <v>29</v>
      </c>
      <c r="K5" t="s">
        <v>204</v>
      </c>
      <c r="L5" t="s">
        <v>36</v>
      </c>
      <c r="M5" t="s">
        <v>5758</v>
      </c>
    </row>
    <row r="6" spans="1:13" x14ac:dyDescent="0.25">
      <c r="A6" s="3" t="s">
        <v>21</v>
      </c>
      <c r="B6">
        <v>1</v>
      </c>
      <c r="C6">
        <v>2</v>
      </c>
      <c r="F6">
        <v>3</v>
      </c>
      <c r="H6" s="3" t="s">
        <v>21</v>
      </c>
      <c r="I6">
        <v>3</v>
      </c>
      <c r="J6">
        <v>7</v>
      </c>
      <c r="M6">
        <v>10</v>
      </c>
    </row>
    <row r="7" spans="1:13" x14ac:dyDescent="0.25">
      <c r="A7" s="3" t="s">
        <v>91</v>
      </c>
      <c r="B7">
        <v>3</v>
      </c>
      <c r="C7">
        <v>2</v>
      </c>
      <c r="D7">
        <v>1</v>
      </c>
      <c r="F7">
        <v>6</v>
      </c>
      <c r="H7" s="3" t="s">
        <v>91</v>
      </c>
      <c r="I7">
        <v>9</v>
      </c>
      <c r="J7">
        <v>6</v>
      </c>
      <c r="K7">
        <v>3</v>
      </c>
      <c r="M7">
        <v>18</v>
      </c>
    </row>
    <row r="8" spans="1:13" x14ac:dyDescent="0.25">
      <c r="A8" s="3" t="s">
        <v>19</v>
      </c>
      <c r="B8">
        <v>7</v>
      </c>
      <c r="C8">
        <v>2</v>
      </c>
      <c r="D8">
        <v>1</v>
      </c>
      <c r="F8">
        <v>10</v>
      </c>
      <c r="H8" s="3" t="s">
        <v>19</v>
      </c>
      <c r="I8">
        <v>19</v>
      </c>
      <c r="J8">
        <v>5</v>
      </c>
      <c r="K8">
        <v>2</v>
      </c>
      <c r="M8">
        <v>26</v>
      </c>
    </row>
    <row r="9" spans="1:13" x14ac:dyDescent="0.25">
      <c r="A9" s="3" t="s">
        <v>136</v>
      </c>
      <c r="B9">
        <v>3</v>
      </c>
      <c r="C9">
        <v>1</v>
      </c>
      <c r="F9">
        <v>4</v>
      </c>
      <c r="H9" s="3" t="s">
        <v>136</v>
      </c>
      <c r="I9">
        <v>7</v>
      </c>
      <c r="J9">
        <v>3</v>
      </c>
      <c r="M9">
        <v>10</v>
      </c>
    </row>
    <row r="10" spans="1:13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H10" s="3" t="s">
        <v>28</v>
      </c>
      <c r="I10">
        <v>13</v>
      </c>
      <c r="J10">
        <v>5</v>
      </c>
      <c r="L10">
        <v>2</v>
      </c>
      <c r="M10">
        <v>20</v>
      </c>
    </row>
    <row r="11" spans="1:13" x14ac:dyDescent="0.25">
      <c r="A11" s="3" t="s">
        <v>80</v>
      </c>
      <c r="B11">
        <v>9</v>
      </c>
      <c r="C11">
        <v>1</v>
      </c>
      <c r="F11">
        <v>10</v>
      </c>
      <c r="H11" s="3" t="s">
        <v>80</v>
      </c>
      <c r="I11">
        <v>18</v>
      </c>
      <c r="J11">
        <v>1</v>
      </c>
      <c r="M11">
        <v>19</v>
      </c>
    </row>
    <row r="12" spans="1:13" x14ac:dyDescent="0.25">
      <c r="A12" s="3" t="s">
        <v>98</v>
      </c>
      <c r="B12">
        <v>3</v>
      </c>
      <c r="C12">
        <v>2</v>
      </c>
      <c r="F12">
        <v>5</v>
      </c>
      <c r="H12" s="3" t="s">
        <v>98</v>
      </c>
      <c r="I12">
        <v>7</v>
      </c>
      <c r="J12">
        <v>4</v>
      </c>
      <c r="M12">
        <v>11</v>
      </c>
    </row>
    <row r="13" spans="1:13" x14ac:dyDescent="0.25">
      <c r="A13" s="3" t="s">
        <v>168</v>
      </c>
      <c r="B13">
        <v>1</v>
      </c>
      <c r="F13">
        <v>1</v>
      </c>
      <c r="H13" s="3" t="s">
        <v>168</v>
      </c>
      <c r="I13">
        <v>0</v>
      </c>
      <c r="M13">
        <v>0</v>
      </c>
    </row>
    <row r="14" spans="1:13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H14" s="3" t="s">
        <v>5758</v>
      </c>
      <c r="I14">
        <v>76</v>
      </c>
      <c r="J14">
        <v>31</v>
      </c>
      <c r="K14">
        <v>5</v>
      </c>
      <c r="L14">
        <v>2</v>
      </c>
      <c r="M14">
        <v>114</v>
      </c>
    </row>
    <row r="16" spans="1:13" x14ac:dyDescent="0.25">
      <c r="A16" s="4" t="s">
        <v>5762</v>
      </c>
      <c r="B16" s="5">
        <f>B14/$F$14</f>
        <v>0.68085106382978722</v>
      </c>
      <c r="C16" s="5">
        <f t="shared" ref="C16:F16" si="0">C14/$F$14</f>
        <v>0.25531914893617019</v>
      </c>
      <c r="D16" s="5">
        <f t="shared" si="0"/>
        <v>4.2553191489361701E-2</v>
      </c>
      <c r="E16" s="5">
        <f t="shared" si="0"/>
        <v>2.1276595744680851E-2</v>
      </c>
      <c r="F16" s="5">
        <f t="shared" si="0"/>
        <v>1</v>
      </c>
      <c r="H16" s="4" t="s">
        <v>5762</v>
      </c>
      <c r="I16" s="5">
        <f>I14/$M$14</f>
        <v>0.66666666666666663</v>
      </c>
      <c r="J16" s="5">
        <f t="shared" ref="J16:M16" si="1">J14/$M$14</f>
        <v>0.27192982456140352</v>
      </c>
      <c r="K16" s="5">
        <f t="shared" si="1"/>
        <v>4.3859649122807015E-2</v>
      </c>
      <c r="L16" s="5">
        <f t="shared" si="1"/>
        <v>1.7543859649122806E-2</v>
      </c>
      <c r="M16" s="5">
        <f t="shared" si="1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